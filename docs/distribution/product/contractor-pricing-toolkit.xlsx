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Quote &amp; Margin" sheetId="2" state="visible" r:id="rId2"/>
    <sheet name="Hourly Rate" sheetId="3" state="visible" r:id="rId3"/>
    <sheet name="Change Order" sheetId="4" state="visible" r:id="rId4"/>
    <sheet name="Job Profit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&quot;%&quot;"/>
  </numFmts>
  <fonts count="15">
    <font>
      <name val="Calibri"/>
      <family val="2"/>
      <color theme="1"/>
      <sz val="11"/>
      <scheme val="minor"/>
    </font>
    <font>
      <b val="1"/>
      <color rgb="00FFFFFF"/>
      <sz val="18"/>
    </font>
    <font>
      <color rgb="00C3CFDF"/>
      <sz val="10"/>
    </font>
    <font>
      <b val="1"/>
      <color rgb="000F1B2D"/>
      <sz val="13"/>
    </font>
    <font>
      <color rgb="000F1B2D"/>
      <sz val="11"/>
    </font>
    <font>
      <b val="1"/>
      <color rgb="00586273"/>
      <sz val="9"/>
    </font>
    <font>
      <b val="1"/>
      <color rgb="004A3B00"/>
    </font>
    <font>
      <i val="1"/>
      <color rgb="00586273"/>
      <sz val="9"/>
    </font>
    <font>
      <b val="1"/>
      <color rgb="000F1B2D"/>
      <sz val="11"/>
    </font>
    <font>
      <b val="1"/>
      <color rgb="00FF6A2B"/>
      <sz val="14"/>
    </font>
    <font>
      <b val="1"/>
      <color rgb="00FFFFFF"/>
      <sz val="12"/>
    </font>
    <font>
      <i val="1"/>
      <color rgb="00586273"/>
      <sz val="10"/>
    </font>
    <font>
      <b val="1"/>
      <color rgb="00FFFFFF"/>
      <sz val="10"/>
    </font>
    <font>
      <b val="1"/>
    </font>
    <font>
      <b val="1"/>
      <color rgb="00FF6A2B"/>
      <sz val="12"/>
    </font>
  </fonts>
  <fills count="6">
    <fill>
      <patternFill/>
    </fill>
    <fill>
      <patternFill patternType="gray125"/>
    </fill>
    <fill>
      <patternFill patternType="solid">
        <fgColor rgb="000D2240"/>
      </patternFill>
    </fill>
    <fill>
      <patternFill patternType="solid">
        <fgColor rgb="00F7F5F0"/>
      </patternFill>
    </fill>
    <fill>
      <patternFill patternType="solid">
        <fgColor rgb="00FFF6C7"/>
      </patternFill>
    </fill>
    <fill>
      <patternFill patternType="solid">
        <fgColor rgb="0014325C"/>
      </patternFill>
    </fill>
  </fills>
  <borders count="2">
    <border>
      <left/>
      <right/>
      <top/>
      <bottom/>
      <diagonal/>
    </border>
    <border>
      <bottom style="thin">
        <color rgb="00E6E1D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164" fontId="6" fillId="4" borderId="1" pivotButton="0" quotePrefix="0" xfId="0"/>
    <xf numFmtId="2" fontId="6" fillId="4" borderId="1" pivotButton="0" quotePrefix="0" xfId="0"/>
    <xf numFmtId="0" fontId="7" fillId="0" borderId="0" pivotButton="0" quotePrefix="0" xfId="0"/>
    <xf numFmtId="165" fontId="6" fillId="4" borderId="1" pivotButton="0" quotePrefix="0" xfId="0"/>
    <xf numFmtId="164" fontId="8" fillId="0" borderId="1" pivotButton="0" quotePrefix="0" xfId="0"/>
    <xf numFmtId="0" fontId="10" fillId="2" borderId="1" pivotButton="0" quotePrefix="0" xfId="0"/>
    <xf numFmtId="164" fontId="9" fillId="2" borderId="1" pivotButton="0" quotePrefix="0" xfId="0"/>
    <xf numFmtId="165" fontId="8" fillId="0" borderId="1" pivotButton="0" quotePrefix="0" xfId="0"/>
    <xf numFmtId="1" fontId="6" fillId="4" borderId="1" pivotButton="0" quotePrefix="0" xfId="0"/>
    <xf numFmtId="3" fontId="8" fillId="0" borderId="1" pivotButton="0" quotePrefix="0" xfId="0"/>
    <xf numFmtId="0" fontId="11" fillId="0" borderId="0" pivotButton="0" quotePrefix="0" xfId="0"/>
    <xf numFmtId="0" fontId="12" fillId="5" borderId="0" applyAlignment="1" pivotButton="0" quotePrefix="0" xfId="0">
      <alignment vertical="center" wrapText="1"/>
    </xf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4" customWidth="1" min="2" max="2"/>
    <col width="4" customWidth="1" min="3" max="3"/>
    <col width="4" customWidth="1" min="4" max="4"/>
  </cols>
  <sheetData>
    <row r="1" ht="32" customHeight="1">
      <c r="A1" s="1" t="inlineStr">
        <is>
          <t>Contractor Pricing Toolkit</t>
        </is>
      </c>
      <c r="B1" s="2" t="n"/>
      <c r="C1" s="2" t="n"/>
      <c r="D1" s="2" t="n"/>
    </row>
    <row r="2">
      <c r="A2" s="3" t="inlineStr">
        <is>
          <t>Clever Loop Digital · cleverloopdigital.com</t>
        </is>
      </c>
      <c r="B2" s="2" t="n"/>
      <c r="C2" s="2" t="n"/>
      <c r="D2" s="2" t="n"/>
    </row>
    <row r="4">
      <c r="A4" s="4" t="inlineStr">
        <is>
          <t>How to use this workbook</t>
        </is>
      </c>
    </row>
    <row r="5">
      <c r="A5" s="5" t="inlineStr">
        <is>
          <t>1. Type only in the YELLOW cells. Everything else is a formula.</t>
        </is>
      </c>
    </row>
    <row r="6">
      <c r="A6" s="5" t="inlineStr">
        <is>
          <t>2. Quote &amp; Margin: price one job from materials, labor, subs, overhead and your target margin.</t>
        </is>
      </c>
    </row>
    <row r="7">
      <c r="A7" s="5" t="inlineStr">
        <is>
          <t>3. Hourly Rate: the rate you must charge to reach your income goal after overhead and unbillable time.</t>
        </is>
      </c>
    </row>
    <row r="8">
      <c r="A8" s="5" t="inlineStr">
        <is>
          <t>4. Change Order: price extra work added mid-job (labor + disruption allowance + marked-up materials).</t>
        </is>
      </c>
    </row>
    <row r="9">
      <c r="A9" s="5" t="inlineStr">
        <is>
          <t>5. Job Profit Log: list finished jobs and see the margin you really made on each, and in total.</t>
        </is>
      </c>
    </row>
    <row r="10">
      <c r="A10" s="5" t="inlineStr"/>
    </row>
    <row r="11">
      <c r="A11" s="5" t="inlineStr">
        <is>
          <t>Margin = profit ÷ price.  Markup = profit ÷ cost.  A 30% margin needs a 42.9% markup.</t>
        </is>
      </c>
    </row>
    <row r="12">
      <c r="A12" s="5" t="inlineStr">
        <is>
          <t>Google Sheets: File &gt; Import &gt; Upload this file. Excel: just open it.</t>
        </is>
      </c>
    </row>
    <row r="13">
      <c r="A13" s="5" t="inlineStr"/>
    </row>
    <row r="14">
      <c r="A14" s="5" t="inlineStr">
        <is>
          <t>The numbers already filled in are examples. Replace them with your own.</t>
        </is>
      </c>
    </row>
    <row r="15">
      <c r="A15" s="5" t="inlineStr">
        <is>
          <t>Figures are planning estimates only. This workbook is not accounting, tax or legal advice.</t>
        </is>
      </c>
    </row>
    <row r="16">
      <c r="A16" s="5" t="inlineStr">
        <is>
          <t>Questions: hello@cleverloopdigital.com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4" customWidth="1" min="3" max="3"/>
    <col width="40" customWidth="1" min="4" max="4"/>
  </cols>
  <sheetData>
    <row r="1" ht="32" customHeight="1">
      <c r="A1" s="1" t="inlineStr">
        <is>
          <t>Quote &amp; Margin</t>
        </is>
      </c>
      <c r="B1" s="2" t="n"/>
      <c r="C1" s="2" t="n"/>
      <c r="D1" s="2" t="n"/>
    </row>
    <row r="2">
      <c r="A2" s="3" t="inlineStr">
        <is>
          <t>Price one job at the margin you want</t>
        </is>
      </c>
      <c r="B2" s="2" t="n"/>
      <c r="C2" s="2" t="n"/>
      <c r="D2" s="2" t="n"/>
    </row>
    <row r="4">
      <c r="A4" s="6" t="inlineStr">
        <is>
          <t>INPUTS</t>
        </is>
      </c>
      <c r="B4" s="7" t="n"/>
    </row>
    <row r="5">
      <c r="A5" s="8" t="inlineStr">
        <is>
          <t>Materials cost ($)</t>
        </is>
      </c>
      <c r="B5" s="9" t="n">
        <v>1200</v>
      </c>
    </row>
    <row r="6">
      <c r="A6" s="8" t="inlineStr">
        <is>
          <t>Labor hours</t>
        </is>
      </c>
      <c r="B6" s="10" t="n">
        <v>24</v>
      </c>
    </row>
    <row r="7">
      <c r="A7" s="8" t="inlineStr">
        <is>
          <t>Labor cost per hour ($) - wages + payroll costs</t>
        </is>
      </c>
      <c r="B7" s="9" t="n">
        <v>35</v>
      </c>
      <c r="D7" s="11" t="inlineStr">
        <is>
          <t>Use the Hourly Rate tab or your payroll records</t>
        </is>
      </c>
    </row>
    <row r="8">
      <c r="A8" s="8" t="inlineStr">
        <is>
          <t>Subcontractor / rental cost ($)</t>
        </is>
      </c>
      <c r="B8" s="9" t="n">
        <v>300</v>
      </c>
    </row>
    <row r="9">
      <c r="A9" s="8" t="inlineStr">
        <is>
          <t>Overhead (% of direct cost)</t>
        </is>
      </c>
      <c r="B9" s="12" t="n">
        <v>12</v>
      </c>
      <c r="D9" s="11" t="inlineStr">
        <is>
          <t>Yearly overhead ÷ yearly direct job costs</t>
        </is>
      </c>
    </row>
    <row r="10">
      <c r="A10" s="8" t="inlineStr">
        <is>
          <t>Target margin (% of price)</t>
        </is>
      </c>
      <c r="B10" s="12" t="n">
        <v>30</v>
      </c>
    </row>
    <row r="11">
      <c r="A11" s="8" t="inlineStr">
        <is>
          <t>Sales tax on materials (%) - 0 if not charged</t>
        </is>
      </c>
      <c r="B11" s="12" t="n">
        <v>0</v>
      </c>
      <c r="D11" s="11" t="inlineStr">
        <is>
          <t>Check your state's rules</t>
        </is>
      </c>
    </row>
    <row r="12">
      <c r="A12" s="8" t="inlineStr">
        <is>
          <t>Deposit requested up front (%)</t>
        </is>
      </c>
      <c r="B12" s="12" t="n">
        <v>30</v>
      </c>
    </row>
    <row r="14">
      <c r="A14" s="6" t="inlineStr">
        <is>
          <t>RESULTS</t>
        </is>
      </c>
      <c r="B14" s="7" t="n"/>
    </row>
    <row r="15">
      <c r="A15" s="8" t="inlineStr">
        <is>
          <t>Labor total</t>
        </is>
      </c>
      <c r="B15" s="13">
        <f>B6*B7</f>
        <v/>
      </c>
    </row>
    <row r="16">
      <c r="A16" s="8" t="inlineStr">
        <is>
          <t>Direct cost</t>
        </is>
      </c>
      <c r="B16" s="13">
        <f>B5+B15+B8</f>
        <v/>
      </c>
    </row>
    <row r="17">
      <c r="A17" s="8" t="inlineStr">
        <is>
          <t>Overhead</t>
        </is>
      </c>
      <c r="B17" s="13">
        <f>B16*B9/100</f>
        <v/>
      </c>
    </row>
    <row r="18">
      <c r="A18" s="8" t="inlineStr">
        <is>
          <t>Total cost (break-even price)</t>
        </is>
      </c>
      <c r="B18" s="13">
        <f>B16+B17</f>
        <v/>
      </c>
    </row>
    <row r="19">
      <c r="A19" s="14" t="inlineStr">
        <is>
          <t>QUOTE PRICE (before tax)</t>
        </is>
      </c>
      <c r="B19" s="15">
        <f>IF(B10&gt;=100,0,B18/(1-B10/100))</f>
        <v/>
      </c>
    </row>
    <row r="20">
      <c r="A20" s="8" t="inlineStr">
        <is>
          <t>Sales tax</t>
        </is>
      </c>
      <c r="B20" s="13">
        <f>B5*B11/100</f>
        <v/>
      </c>
    </row>
    <row r="21">
      <c r="A21" s="8" t="inlineStr">
        <is>
          <t>Quote price incl. tax</t>
        </is>
      </c>
      <c r="B21" s="13">
        <f>B19+B20</f>
        <v/>
      </c>
    </row>
    <row r="22">
      <c r="A22" s="8" t="inlineStr">
        <is>
          <t>Profit on this job</t>
        </is>
      </c>
      <c r="B22" s="13">
        <f>B19-B18</f>
        <v/>
      </c>
    </row>
    <row r="23">
      <c r="A23" s="8" t="inlineStr">
        <is>
          <t>Markup on cost</t>
        </is>
      </c>
      <c r="B23" s="16">
        <f>IF(B18=0,0,B22/B18*100)</f>
        <v/>
      </c>
    </row>
    <row r="24">
      <c r="A24" s="8" t="inlineStr">
        <is>
          <t>Profit per labor hour</t>
        </is>
      </c>
      <c r="B24" s="13">
        <f>IF(B6=0,0,B22/B6)</f>
        <v/>
      </c>
    </row>
    <row r="25">
      <c r="A25" s="8" t="inlineStr">
        <is>
          <t>Deposit due</t>
        </is>
      </c>
      <c r="B25" s="13">
        <f>B21*B12/100</f>
        <v/>
      </c>
    </row>
    <row r="27">
      <c r="A27" s="6" t="inlineStr">
        <is>
          <t>WHAT IF</t>
        </is>
      </c>
      <c r="B27" s="7" t="n"/>
    </row>
    <row r="28">
      <c r="A28" s="8" t="inlineStr">
        <is>
          <t>Margin if client negotiates 10% off</t>
        </is>
      </c>
      <c r="B28" s="16">
        <f>IF(B19=0,0,(B19*0.9-B18)/(B19*0.9)*100)</f>
        <v/>
      </c>
    </row>
    <row r="29">
      <c r="A29" s="8" t="inlineStr">
        <is>
          <t>Margin if client negotiates 20% off</t>
        </is>
      </c>
      <c r="B29" s="16">
        <f>IF(B19=0,0,(B19*0.8-B18)/(B19*0.8)*100)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4" customWidth="1" min="3" max="3"/>
    <col width="40" customWidth="1" min="4" max="4"/>
  </cols>
  <sheetData>
    <row r="1" ht="32" customHeight="1">
      <c r="A1" s="1" t="inlineStr">
        <is>
          <t>Hourly Rate</t>
        </is>
      </c>
      <c r="B1" s="2" t="n"/>
      <c r="C1" s="2" t="n"/>
      <c r="D1" s="2" t="n"/>
    </row>
    <row r="2">
      <c r="A2" s="3" t="inlineStr">
        <is>
          <t>The rate you need to hit your income goal</t>
        </is>
      </c>
      <c r="B2" s="2" t="n"/>
      <c r="C2" s="2" t="n"/>
      <c r="D2" s="2" t="n"/>
    </row>
    <row r="4">
      <c r="A4" s="6" t="inlineStr">
        <is>
          <t>INPUTS</t>
        </is>
      </c>
      <c r="B4" s="7" t="n"/>
    </row>
    <row r="5">
      <c r="A5" s="8" t="inlineStr">
        <is>
          <t>Income you want to pay yourself per year ($)</t>
        </is>
      </c>
      <c r="B5" s="9" t="n">
        <v>60000</v>
      </c>
    </row>
    <row r="6">
      <c r="A6" s="8" t="inlineStr">
        <is>
          <t>Yearly overhead: insurance, truck, tools, software, phone ($)</t>
        </is>
      </c>
      <c r="B6" s="9" t="n">
        <v>18000</v>
      </c>
    </row>
    <row r="7">
      <c r="A7" s="8" t="inlineStr">
        <is>
          <t>Working weeks per year</t>
        </is>
      </c>
      <c r="B7" s="17" t="n">
        <v>48</v>
      </c>
    </row>
    <row r="8">
      <c r="A8" s="8" t="inlineStr">
        <is>
          <t>Hours worked per week</t>
        </is>
      </c>
      <c r="B8" s="17" t="n">
        <v>45</v>
      </c>
    </row>
    <row r="9">
      <c r="A9" s="8" t="inlineStr">
        <is>
          <t>Billable share of hours (%)</t>
        </is>
      </c>
      <c r="B9" s="12" t="n">
        <v>65</v>
      </c>
      <c r="D9" s="11" t="inlineStr">
        <is>
          <t>Driving, quoting and admin are not billable</t>
        </is>
      </c>
    </row>
    <row r="10">
      <c r="A10" s="8" t="inlineStr">
        <is>
          <t>Profit margin on top (%)</t>
        </is>
      </c>
      <c r="B10" s="12" t="n">
        <v>15</v>
      </c>
    </row>
    <row r="12">
      <c r="A12" s="6" t="inlineStr">
        <is>
          <t>RESULTS</t>
        </is>
      </c>
      <c r="B12" s="7" t="n"/>
    </row>
    <row r="13">
      <c r="A13" s="8" t="inlineStr">
        <is>
          <t>Hours worked per year</t>
        </is>
      </c>
      <c r="B13" s="18">
        <f>B7*B8</f>
        <v/>
      </c>
    </row>
    <row r="14">
      <c r="A14" s="8" t="inlineStr">
        <is>
          <t>Billable hours per year</t>
        </is>
      </c>
      <c r="B14" s="18">
        <f>B13*B9/100</f>
        <v/>
      </c>
    </row>
    <row r="15">
      <c r="A15" s="8" t="inlineStr">
        <is>
          <t>Cost to cover per year</t>
        </is>
      </c>
      <c r="B15" s="13">
        <f>B5+B6</f>
        <v/>
      </c>
    </row>
    <row r="16">
      <c r="A16" s="8" t="inlineStr">
        <is>
          <t>Break-even hourly rate</t>
        </is>
      </c>
      <c r="B16" s="13">
        <f>IF(B14=0,0,B15/B14)</f>
        <v/>
      </c>
    </row>
    <row r="17">
      <c r="A17" s="14" t="inlineStr">
        <is>
          <t>HOURLY RATE TO CHARGE</t>
        </is>
      </c>
      <c r="B17" s="15">
        <f>IF(B10&gt;=100,0,B16/(1-B10/100))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4" customWidth="1" min="3" max="3"/>
    <col width="40" customWidth="1" min="4" max="4"/>
  </cols>
  <sheetData>
    <row r="1" ht="32" customHeight="1">
      <c r="A1" s="1" t="inlineStr">
        <is>
          <t>Change Order</t>
        </is>
      </c>
      <c r="B1" s="2" t="n"/>
      <c r="C1" s="2" t="n"/>
      <c r="D1" s="2" t="n"/>
    </row>
    <row r="2">
      <c r="A2" s="3" t="inlineStr">
        <is>
          <t>Price extra work added mid-job, then get it signed</t>
        </is>
      </c>
      <c r="B2" s="2" t="n"/>
      <c r="C2" s="2" t="n"/>
      <c r="D2" s="2" t="n"/>
    </row>
    <row r="4">
      <c r="A4" s="6" t="inlineStr">
        <is>
          <t>INPUTS</t>
        </is>
      </c>
      <c r="B4" s="7" t="n"/>
    </row>
    <row r="5">
      <c r="A5" s="8" t="inlineStr">
        <is>
          <t>Extra labor hours</t>
        </is>
      </c>
      <c r="B5" s="10" t="n">
        <v>6</v>
      </c>
    </row>
    <row r="6">
      <c r="A6" s="8" t="inlineStr">
        <is>
          <t>Billable rate per hour ($)</t>
        </is>
      </c>
      <c r="B6" s="9" t="n">
        <v>70</v>
      </c>
    </row>
    <row r="7">
      <c r="A7" s="8" t="inlineStr">
        <is>
          <t>Disruption allowance (% of labor)</t>
        </is>
      </c>
      <c r="B7" s="12" t="n">
        <v>10</v>
      </c>
      <c r="D7" s="11" t="inlineStr">
        <is>
          <t>Stop/restart time, small orders, resequencing</t>
        </is>
      </c>
    </row>
    <row r="8">
      <c r="A8" s="8" t="inlineStr">
        <is>
          <t>Extra materials at cost ($)</t>
        </is>
      </c>
      <c r="B8" s="9" t="n">
        <v>300</v>
      </c>
    </row>
    <row r="9">
      <c r="A9" s="8" t="inlineStr">
        <is>
          <t>Materials markup (%)</t>
        </is>
      </c>
      <c r="B9" s="12" t="n">
        <v>20</v>
      </c>
    </row>
    <row r="11">
      <c r="A11" s="6" t="inlineStr">
        <is>
          <t>RESULTS</t>
        </is>
      </c>
      <c r="B11" s="7" t="n"/>
    </row>
    <row r="12">
      <c r="A12" s="8" t="inlineStr">
        <is>
          <t>Labor</t>
        </is>
      </c>
      <c r="B12" s="13">
        <f>B5*B6</f>
        <v/>
      </c>
    </row>
    <row r="13">
      <c r="A13" s="8" t="inlineStr">
        <is>
          <t>Disruption</t>
        </is>
      </c>
      <c r="B13" s="13">
        <f>B12*B7/100</f>
        <v/>
      </c>
    </row>
    <row r="14">
      <c r="A14" s="8" t="inlineStr">
        <is>
          <t>Materials charged</t>
        </is>
      </c>
      <c r="B14" s="13">
        <f>B8*(1+B9/100)</f>
        <v/>
      </c>
    </row>
    <row r="15">
      <c r="A15" s="14" t="inlineStr">
        <is>
          <t>CHANGE ORDER PRICE</t>
        </is>
      </c>
      <c r="B15" s="15">
        <f>B12+B13+B14</f>
        <v/>
      </c>
    </row>
    <row r="17">
      <c r="A17" s="19" t="inlineStr">
        <is>
          <t>Write down the scope, price, schedule change and payment timing, and get it signed before starting.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4" customWidth="1" min="4" max="4"/>
    <col width="12" customWidth="1" min="5" max="5"/>
    <col width="16" customWidth="1" min="6" max="6"/>
    <col width="12" customWidth="1" min="7" max="7"/>
    <col width="15" customWidth="1" min="8" max="8"/>
    <col width="13" customWidth="1" min="9" max="9"/>
    <col width="11" customWidth="1" min="10" max="10"/>
  </cols>
  <sheetData>
    <row r="1">
      <c r="A1" s="1" t="inlineStr">
        <is>
          <t>Job Profit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What you really made on each job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>
      <c r="A4" s="20" t="inlineStr">
        <is>
          <t>Date</t>
        </is>
      </c>
      <c r="B4" s="20" t="inlineStr">
        <is>
          <t>Customer / job</t>
        </is>
      </c>
      <c r="C4" s="20" t="inlineStr">
        <is>
          <t>Quoted price ($)</t>
        </is>
      </c>
      <c r="D4" s="20" t="inlineStr">
        <is>
          <t>Materials ($)</t>
        </is>
      </c>
      <c r="E4" s="20" t="inlineStr">
        <is>
          <t>Labor ($)</t>
        </is>
      </c>
      <c r="F4" s="20" t="inlineStr">
        <is>
          <t>Subs &amp; other ($)</t>
        </is>
      </c>
      <c r="G4" s="20" t="inlineStr">
        <is>
          <t>Overhead %</t>
        </is>
      </c>
      <c r="H4" s="20" t="inlineStr">
        <is>
          <t>Total cost ($)</t>
        </is>
      </c>
      <c r="I4" s="20" t="inlineStr">
        <is>
          <t>Profit ($)</t>
        </is>
      </c>
      <c r="J4" s="20" t="inlineStr">
        <is>
          <t>Margin %</t>
        </is>
      </c>
    </row>
    <row r="5">
      <c r="A5" s="21" t="inlineStr">
        <is>
          <t>2026-10-01</t>
        </is>
      </c>
      <c r="B5" s="21" t="inlineStr">
        <is>
          <t>Example: bathroom repaint</t>
        </is>
      </c>
      <c r="C5" s="22" t="n">
        <v>2400</v>
      </c>
      <c r="D5" s="22" t="n">
        <v>380</v>
      </c>
      <c r="E5" s="22" t="n">
        <v>900</v>
      </c>
      <c r="F5" s="22" t="n">
        <v>0</v>
      </c>
      <c r="G5" s="23" t="n">
        <v>12</v>
      </c>
      <c r="H5" s="24">
        <f>IF(C5="","",(D5+E5+F5)*(1+G5/100))</f>
        <v/>
      </c>
      <c r="I5" s="24">
        <f>IF(C5="","",C5-H5)</f>
        <v/>
      </c>
      <c r="J5" s="25">
        <f>IF(OR(C5="",C5=0),"",I5/C5*100)</f>
        <v/>
      </c>
    </row>
    <row r="6">
      <c r="A6" s="21" t="inlineStr">
        <is>
          <t>2026-10-08</t>
        </is>
      </c>
      <c r="B6" s="21" t="inlineStr">
        <is>
          <t>Example: deck repair</t>
        </is>
      </c>
      <c r="C6" s="22" t="n">
        <v>3744</v>
      </c>
      <c r="D6" s="22" t="n">
        <v>1200</v>
      </c>
      <c r="E6" s="22" t="n">
        <v>840</v>
      </c>
      <c r="F6" s="22" t="n">
        <v>300</v>
      </c>
      <c r="G6" s="23" t="n">
        <v>12</v>
      </c>
      <c r="H6" s="24">
        <f>IF(C6="","",(D6+E6+F6)*(1+G6/100))</f>
        <v/>
      </c>
      <c r="I6" s="24">
        <f>IF(C6="","",C6-H6)</f>
        <v/>
      </c>
      <c r="J6" s="25">
        <f>IF(OR(C6="",C6=0),"",I6/C6*100)</f>
        <v/>
      </c>
    </row>
    <row r="7">
      <c r="A7" s="21" t="n"/>
      <c r="B7" s="21" t="n"/>
      <c r="C7" s="22" t="n"/>
      <c r="D7" s="22" t="n"/>
      <c r="E7" s="22" t="n"/>
      <c r="F7" s="22" t="n"/>
      <c r="G7" s="23" t="n"/>
      <c r="H7" s="24">
        <f>IF(C7="","",(D7+E7+F7)*(1+G7/100))</f>
        <v/>
      </c>
      <c r="I7" s="24">
        <f>IF(C7="","",C7-H7)</f>
        <v/>
      </c>
      <c r="J7" s="25">
        <f>IF(OR(C7="",C7=0),"",I7/C7*100)</f>
        <v/>
      </c>
    </row>
    <row r="8">
      <c r="A8" s="21" t="n"/>
      <c r="B8" s="21" t="n"/>
      <c r="C8" s="22" t="n"/>
      <c r="D8" s="22" t="n"/>
      <c r="E8" s="22" t="n"/>
      <c r="F8" s="22" t="n"/>
      <c r="G8" s="23" t="n"/>
      <c r="H8" s="24">
        <f>IF(C8="","",(D8+E8+F8)*(1+G8/100))</f>
        <v/>
      </c>
      <c r="I8" s="24">
        <f>IF(C8="","",C8-H8)</f>
        <v/>
      </c>
      <c r="J8" s="25">
        <f>IF(OR(C8="",C8=0),"",I8/C8*100)</f>
        <v/>
      </c>
    </row>
    <row r="9">
      <c r="A9" s="21" t="n"/>
      <c r="B9" s="21" t="n"/>
      <c r="C9" s="22" t="n"/>
      <c r="D9" s="22" t="n"/>
      <c r="E9" s="22" t="n"/>
      <c r="F9" s="22" t="n"/>
      <c r="G9" s="23" t="n"/>
      <c r="H9" s="24">
        <f>IF(C9="","",(D9+E9+F9)*(1+G9/100))</f>
        <v/>
      </c>
      <c r="I9" s="24">
        <f>IF(C9="","",C9-H9)</f>
        <v/>
      </c>
      <c r="J9" s="25">
        <f>IF(OR(C9="",C9=0),"",I9/C9*100)</f>
        <v/>
      </c>
    </row>
    <row r="10">
      <c r="A10" s="21" t="n"/>
      <c r="B10" s="21" t="n"/>
      <c r="C10" s="22" t="n"/>
      <c r="D10" s="22" t="n"/>
      <c r="E10" s="22" t="n"/>
      <c r="F10" s="22" t="n"/>
      <c r="G10" s="23" t="n"/>
      <c r="H10" s="24">
        <f>IF(C10="","",(D10+E10+F10)*(1+G10/100))</f>
        <v/>
      </c>
      <c r="I10" s="24">
        <f>IF(C10="","",C10-H10)</f>
        <v/>
      </c>
      <c r="J10" s="25">
        <f>IF(OR(C10="",C10=0),"",I10/C10*100)</f>
        <v/>
      </c>
    </row>
    <row r="11">
      <c r="A11" s="21" t="n"/>
      <c r="B11" s="21" t="n"/>
      <c r="C11" s="22" t="n"/>
      <c r="D11" s="22" t="n"/>
      <c r="E11" s="22" t="n"/>
      <c r="F11" s="22" t="n"/>
      <c r="G11" s="23" t="n"/>
      <c r="H11" s="24">
        <f>IF(C11="","",(D11+E11+F11)*(1+G11/100))</f>
        <v/>
      </c>
      <c r="I11" s="24">
        <f>IF(C11="","",C11-H11)</f>
        <v/>
      </c>
      <c r="J11" s="25">
        <f>IF(OR(C11="",C11=0),"",I11/C11*100)</f>
        <v/>
      </c>
    </row>
    <row r="12">
      <c r="A12" s="21" t="n"/>
      <c r="B12" s="21" t="n"/>
      <c r="C12" s="22" t="n"/>
      <c r="D12" s="22" t="n"/>
      <c r="E12" s="22" t="n"/>
      <c r="F12" s="22" t="n"/>
      <c r="G12" s="23" t="n"/>
      <c r="H12" s="24">
        <f>IF(C12="","",(D12+E12+F12)*(1+G12/100))</f>
        <v/>
      </c>
      <c r="I12" s="24">
        <f>IF(C12="","",C12-H12)</f>
        <v/>
      </c>
      <c r="J12" s="25">
        <f>IF(OR(C12="",C12=0),"",I12/C12*100)</f>
        <v/>
      </c>
    </row>
    <row r="13">
      <c r="A13" s="21" t="n"/>
      <c r="B13" s="21" t="n"/>
      <c r="C13" s="22" t="n"/>
      <c r="D13" s="22" t="n"/>
      <c r="E13" s="22" t="n"/>
      <c r="F13" s="22" t="n"/>
      <c r="G13" s="23" t="n"/>
      <c r="H13" s="24">
        <f>IF(C13="","",(D13+E13+F13)*(1+G13/100))</f>
        <v/>
      </c>
      <c r="I13" s="24">
        <f>IF(C13="","",C13-H13)</f>
        <v/>
      </c>
      <c r="J13" s="25">
        <f>IF(OR(C13="",C13=0),"",I13/C13*100)</f>
        <v/>
      </c>
    </row>
    <row r="14">
      <c r="A14" s="21" t="n"/>
      <c r="B14" s="21" t="n"/>
      <c r="C14" s="22" t="n"/>
      <c r="D14" s="22" t="n"/>
      <c r="E14" s="22" t="n"/>
      <c r="F14" s="22" t="n"/>
      <c r="G14" s="23" t="n"/>
      <c r="H14" s="24">
        <f>IF(C14="","",(D14+E14+F14)*(1+G14/100))</f>
        <v/>
      </c>
      <c r="I14" s="24">
        <f>IF(C14="","",C14-H14)</f>
        <v/>
      </c>
      <c r="J14" s="25">
        <f>IF(OR(C14="",C14=0),"",I14/C14*100)</f>
        <v/>
      </c>
    </row>
    <row r="15">
      <c r="A15" s="21" t="n"/>
      <c r="B15" s="21" t="n"/>
      <c r="C15" s="22" t="n"/>
      <c r="D15" s="22" t="n"/>
      <c r="E15" s="22" t="n"/>
      <c r="F15" s="22" t="n"/>
      <c r="G15" s="23" t="n"/>
      <c r="H15" s="24">
        <f>IF(C15="","",(D15+E15+F15)*(1+G15/100))</f>
        <v/>
      </c>
      <c r="I15" s="24">
        <f>IF(C15="","",C15-H15)</f>
        <v/>
      </c>
      <c r="J15" s="25">
        <f>IF(OR(C15="",C15=0),"",I15/C15*100)</f>
        <v/>
      </c>
    </row>
    <row r="16">
      <c r="A16" s="21" t="n"/>
      <c r="B16" s="21" t="n"/>
      <c r="C16" s="22" t="n"/>
      <c r="D16" s="22" t="n"/>
      <c r="E16" s="22" t="n"/>
      <c r="F16" s="22" t="n"/>
      <c r="G16" s="23" t="n"/>
      <c r="H16" s="24">
        <f>IF(C16="","",(D16+E16+F16)*(1+G16/100))</f>
        <v/>
      </c>
      <c r="I16" s="24">
        <f>IF(C16="","",C16-H16)</f>
        <v/>
      </c>
      <c r="J16" s="25">
        <f>IF(OR(C16="",C16=0),"",I16/C16*100)</f>
        <v/>
      </c>
    </row>
    <row r="17">
      <c r="A17" s="21" t="n"/>
      <c r="B17" s="21" t="n"/>
      <c r="C17" s="22" t="n"/>
      <c r="D17" s="22" t="n"/>
      <c r="E17" s="22" t="n"/>
      <c r="F17" s="22" t="n"/>
      <c r="G17" s="23" t="n"/>
      <c r="H17" s="24">
        <f>IF(C17="","",(D17+E17+F17)*(1+G17/100))</f>
        <v/>
      </c>
      <c r="I17" s="24">
        <f>IF(C17="","",C17-H17)</f>
        <v/>
      </c>
      <c r="J17" s="25">
        <f>IF(OR(C17="",C17=0),"",I17/C17*100)</f>
        <v/>
      </c>
    </row>
    <row r="18">
      <c r="A18" s="21" t="n"/>
      <c r="B18" s="21" t="n"/>
      <c r="C18" s="22" t="n"/>
      <c r="D18" s="22" t="n"/>
      <c r="E18" s="22" t="n"/>
      <c r="F18" s="22" t="n"/>
      <c r="G18" s="23" t="n"/>
      <c r="H18" s="24">
        <f>IF(C18="","",(D18+E18+F18)*(1+G18/100))</f>
        <v/>
      </c>
      <c r="I18" s="24">
        <f>IF(C18="","",C18-H18)</f>
        <v/>
      </c>
      <c r="J18" s="25">
        <f>IF(OR(C18="",C18=0),"",I18/C18*100)</f>
        <v/>
      </c>
    </row>
    <row r="19">
      <c r="A19" s="21" t="n"/>
      <c r="B19" s="21" t="n"/>
      <c r="C19" s="22" t="n"/>
      <c r="D19" s="22" t="n"/>
      <c r="E19" s="22" t="n"/>
      <c r="F19" s="22" t="n"/>
      <c r="G19" s="23" t="n"/>
      <c r="H19" s="24">
        <f>IF(C19="","",(D19+E19+F19)*(1+G19/100))</f>
        <v/>
      </c>
      <c r="I19" s="24">
        <f>IF(C19="","",C19-H19)</f>
        <v/>
      </c>
      <c r="J19" s="25">
        <f>IF(OR(C19="",C19=0),"",I19/C19*100)</f>
        <v/>
      </c>
    </row>
    <row r="20">
      <c r="A20" s="21" t="n"/>
      <c r="B20" s="21" t="n"/>
      <c r="C20" s="22" t="n"/>
      <c r="D20" s="22" t="n"/>
      <c r="E20" s="22" t="n"/>
      <c r="F20" s="22" t="n"/>
      <c r="G20" s="23" t="n"/>
      <c r="H20" s="24">
        <f>IF(C20="","",(D20+E20+F20)*(1+G20/100))</f>
        <v/>
      </c>
      <c r="I20" s="24">
        <f>IF(C20="","",C20-H20)</f>
        <v/>
      </c>
      <c r="J20" s="25">
        <f>IF(OR(C20="",C20=0),"",I20/C20*100)</f>
        <v/>
      </c>
    </row>
    <row r="21">
      <c r="A21" s="21" t="n"/>
      <c r="B21" s="21" t="n"/>
      <c r="C21" s="22" t="n"/>
      <c r="D21" s="22" t="n"/>
      <c r="E21" s="22" t="n"/>
      <c r="F21" s="22" t="n"/>
      <c r="G21" s="23" t="n"/>
      <c r="H21" s="24">
        <f>IF(C21="","",(D21+E21+F21)*(1+G21/100))</f>
        <v/>
      </c>
      <c r="I21" s="24">
        <f>IF(C21="","",C21-H21)</f>
        <v/>
      </c>
      <c r="J21" s="25">
        <f>IF(OR(C21="",C21=0),"",I21/C21*100)</f>
        <v/>
      </c>
    </row>
    <row r="22">
      <c r="A22" s="21" t="n"/>
      <c r="B22" s="21" t="n"/>
      <c r="C22" s="22" t="n"/>
      <c r="D22" s="22" t="n"/>
      <c r="E22" s="22" t="n"/>
      <c r="F22" s="22" t="n"/>
      <c r="G22" s="23" t="n"/>
      <c r="H22" s="24">
        <f>IF(C22="","",(D22+E22+F22)*(1+G22/100))</f>
        <v/>
      </c>
      <c r="I22" s="24">
        <f>IF(C22="","",C22-H22)</f>
        <v/>
      </c>
      <c r="J22" s="25">
        <f>IF(OR(C22="",C22=0),"",I22/C22*100)</f>
        <v/>
      </c>
    </row>
    <row r="23">
      <c r="A23" s="21" t="n"/>
      <c r="B23" s="21" t="n"/>
      <c r="C23" s="22" t="n"/>
      <c r="D23" s="22" t="n"/>
      <c r="E23" s="22" t="n"/>
      <c r="F23" s="22" t="n"/>
      <c r="G23" s="23" t="n"/>
      <c r="H23" s="24">
        <f>IF(C23="","",(D23+E23+F23)*(1+G23/100))</f>
        <v/>
      </c>
      <c r="I23" s="24">
        <f>IF(C23="","",C23-H23)</f>
        <v/>
      </c>
      <c r="J23" s="25">
        <f>IF(OR(C23="",C23=0),"",I23/C23*100)</f>
        <v/>
      </c>
    </row>
    <row r="24">
      <c r="A24" s="21" t="n"/>
      <c r="B24" s="21" t="n"/>
      <c r="C24" s="22" t="n"/>
      <c r="D24" s="22" t="n"/>
      <c r="E24" s="22" t="n"/>
      <c r="F24" s="22" t="n"/>
      <c r="G24" s="23" t="n"/>
      <c r="H24" s="24">
        <f>IF(C24="","",(D24+E24+F24)*(1+G24/100))</f>
        <v/>
      </c>
      <c r="I24" s="24">
        <f>IF(C24="","",C24-H24)</f>
        <v/>
      </c>
      <c r="J24" s="25">
        <f>IF(OR(C24="",C24=0),"",I24/C24*100)</f>
        <v/>
      </c>
    </row>
    <row r="25">
      <c r="A25" s="21" t="n"/>
      <c r="B25" s="21" t="n"/>
      <c r="C25" s="22" t="n"/>
      <c r="D25" s="22" t="n"/>
      <c r="E25" s="22" t="n"/>
      <c r="F25" s="22" t="n"/>
      <c r="G25" s="23" t="n"/>
      <c r="H25" s="24">
        <f>IF(C25="","",(D25+E25+F25)*(1+G25/100))</f>
        <v/>
      </c>
      <c r="I25" s="24">
        <f>IF(C25="","",C25-H25)</f>
        <v/>
      </c>
      <c r="J25" s="25">
        <f>IF(OR(C25="",C25=0),"",I25/C25*100)</f>
        <v/>
      </c>
    </row>
    <row r="26">
      <c r="A26" s="21" t="n"/>
      <c r="B26" s="21" t="n"/>
      <c r="C26" s="22" t="n"/>
      <c r="D26" s="22" t="n"/>
      <c r="E26" s="22" t="n"/>
      <c r="F26" s="22" t="n"/>
      <c r="G26" s="23" t="n"/>
      <c r="H26" s="24">
        <f>IF(C26="","",(D26+E26+F26)*(1+G26/100))</f>
        <v/>
      </c>
      <c r="I26" s="24">
        <f>IF(C26="","",C26-H26)</f>
        <v/>
      </c>
      <c r="J26" s="25">
        <f>IF(OR(C26="",C26=0),"",I26/C26*100)</f>
        <v/>
      </c>
    </row>
    <row r="27">
      <c r="A27" s="21" t="n"/>
      <c r="B27" s="21" t="n"/>
      <c r="C27" s="22" t="n"/>
      <c r="D27" s="22" t="n"/>
      <c r="E27" s="22" t="n"/>
      <c r="F27" s="22" t="n"/>
      <c r="G27" s="23" t="n"/>
      <c r="H27" s="24">
        <f>IF(C27="","",(D27+E27+F27)*(1+G27/100))</f>
        <v/>
      </c>
      <c r="I27" s="24">
        <f>IF(C27="","",C27-H27)</f>
        <v/>
      </c>
      <c r="J27" s="25">
        <f>IF(OR(C27="",C27=0),"",I27/C27*100)</f>
        <v/>
      </c>
    </row>
    <row r="28">
      <c r="A28" s="21" t="n"/>
      <c r="B28" s="21" t="n"/>
      <c r="C28" s="22" t="n"/>
      <c r="D28" s="22" t="n"/>
      <c r="E28" s="22" t="n"/>
      <c r="F28" s="22" t="n"/>
      <c r="G28" s="23" t="n"/>
      <c r="H28" s="24">
        <f>IF(C28="","",(D28+E28+F28)*(1+G28/100))</f>
        <v/>
      </c>
      <c r="I28" s="24">
        <f>IF(C28="","",C28-H28)</f>
        <v/>
      </c>
      <c r="J28" s="25">
        <f>IF(OR(C28="",C28=0),"",I28/C28*100)</f>
        <v/>
      </c>
    </row>
    <row r="29">
      <c r="A29" s="21" t="n"/>
      <c r="B29" s="21" t="n"/>
      <c r="C29" s="22" t="n"/>
      <c r="D29" s="22" t="n"/>
      <c r="E29" s="22" t="n"/>
      <c r="F29" s="22" t="n"/>
      <c r="G29" s="23" t="n"/>
      <c r="H29" s="24">
        <f>IF(C29="","",(D29+E29+F29)*(1+G29/100))</f>
        <v/>
      </c>
      <c r="I29" s="24">
        <f>IF(C29="","",C29-H29)</f>
        <v/>
      </c>
      <c r="J29" s="25">
        <f>IF(OR(C29="",C29=0),"",I29/C29*100)</f>
        <v/>
      </c>
    </row>
    <row r="30">
      <c r="A30" s="21" t="n"/>
      <c r="B30" s="21" t="n"/>
      <c r="C30" s="22" t="n"/>
      <c r="D30" s="22" t="n"/>
      <c r="E30" s="22" t="n"/>
      <c r="F30" s="22" t="n"/>
      <c r="G30" s="23" t="n"/>
      <c r="H30" s="24">
        <f>IF(C30="","",(D30+E30+F30)*(1+G30/100))</f>
        <v/>
      </c>
      <c r="I30" s="24">
        <f>IF(C30="","",C30-H30)</f>
        <v/>
      </c>
      <c r="J30" s="25">
        <f>IF(OR(C30="",C30=0),"",I30/C30*100)</f>
        <v/>
      </c>
    </row>
    <row r="31">
      <c r="A31" s="21" t="n"/>
      <c r="B31" s="21" t="n"/>
      <c r="C31" s="22" t="n"/>
      <c r="D31" s="22" t="n"/>
      <c r="E31" s="22" t="n"/>
      <c r="F31" s="22" t="n"/>
      <c r="G31" s="23" t="n"/>
      <c r="H31" s="24">
        <f>IF(C31="","",(D31+E31+F31)*(1+G31/100))</f>
        <v/>
      </c>
      <c r="I31" s="24">
        <f>IF(C31="","",C31-H31)</f>
        <v/>
      </c>
      <c r="J31" s="25">
        <f>IF(OR(C31="",C31=0),"",I31/C31*100)</f>
        <v/>
      </c>
    </row>
    <row r="32">
      <c r="A32" s="21" t="n"/>
      <c r="B32" s="21" t="n"/>
      <c r="C32" s="22" t="n"/>
      <c r="D32" s="22" t="n"/>
      <c r="E32" s="22" t="n"/>
      <c r="F32" s="22" t="n"/>
      <c r="G32" s="23" t="n"/>
      <c r="H32" s="24">
        <f>IF(C32="","",(D32+E32+F32)*(1+G32/100))</f>
        <v/>
      </c>
      <c r="I32" s="24">
        <f>IF(C32="","",C32-H32)</f>
        <v/>
      </c>
      <c r="J32" s="25">
        <f>IF(OR(C32="",C32=0),"",I32/C32*100)</f>
        <v/>
      </c>
    </row>
    <row r="33">
      <c r="A33" s="21" t="n"/>
      <c r="B33" s="21" t="n"/>
      <c r="C33" s="22" t="n"/>
      <c r="D33" s="22" t="n"/>
      <c r="E33" s="22" t="n"/>
      <c r="F33" s="22" t="n"/>
      <c r="G33" s="23" t="n"/>
      <c r="H33" s="24">
        <f>IF(C33="","",(D33+E33+F33)*(1+G33/100))</f>
        <v/>
      </c>
      <c r="I33" s="24">
        <f>IF(C33="","",C33-H33)</f>
        <v/>
      </c>
      <c r="J33" s="25">
        <f>IF(OR(C33="",C33=0),"",I33/C33*100)</f>
        <v/>
      </c>
    </row>
    <row r="34">
      <c r="A34" s="21" t="n"/>
      <c r="B34" s="21" t="n"/>
      <c r="C34" s="22" t="n"/>
      <c r="D34" s="22" t="n"/>
      <c r="E34" s="22" t="n"/>
      <c r="F34" s="22" t="n"/>
      <c r="G34" s="23" t="n"/>
      <c r="H34" s="24">
        <f>IF(C34="","",(D34+E34+F34)*(1+G34/100))</f>
        <v/>
      </c>
      <c r="I34" s="24">
        <f>IF(C34="","",C34-H34)</f>
        <v/>
      </c>
      <c r="J34" s="25">
        <f>IF(OR(C34="",C34=0),"",I34/C34*100)</f>
        <v/>
      </c>
    </row>
    <row r="36">
      <c r="B36" s="26" t="inlineStr">
        <is>
          <t>TOTAL</t>
        </is>
      </c>
      <c r="C36" s="27">
        <f>SUM(C5:C34)</f>
        <v/>
      </c>
      <c r="H36" s="27">
        <f>SUM(H5:H34)</f>
        <v/>
      </c>
      <c r="I36" s="27">
        <f>SUM(I5:I34)</f>
        <v/>
      </c>
      <c r="J36" s="28">
        <f>IF(C36=0,"",I36/C36*100)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2026-10-30T15:32:37Z</dcterms:created>
  <dcterms:modified xsi:type="dcterms:W3CDTF">2026-10-30T15:32:37Z</dcterms:modified>
</cp:coreProperties>
</file>